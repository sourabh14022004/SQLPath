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Tasks" sheetId="2" state="visible" r:id="rId4"/>
    <sheet name="Known Issues &amp; Gaps" sheetId="3" state="visible" r:id="rId5"/>
    <sheet name="Question Bank" sheetId="4" state="visible" r:id="rId6"/>
    <sheet name="Deployment Checklist" sheetId="5" state="visible" r:id="rId7"/>
  </sheets>
  <definedNames>
    <definedName function="false" hidden="true" localSheetId="4" name="_xlnm._FilterDatabase" vbProcedure="false">'Deployment Checklist'!$A$4:$E$28</definedName>
    <definedName function="false" hidden="true" localSheetId="2" name="_xlnm._FilterDatabase" vbProcedure="false">'Known Issues &amp; Gaps'!$A$4:$H$35</definedName>
    <definedName function="false" hidden="true" localSheetId="1" name="_xlnm._FilterDatabase" vbProcedure="false">Tasks!$A$4:$H$40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<sst xmlns="http://schemas.openxmlformats.org/spreadsheetml/2006/main" count="233" uniqueCount="163">
  <si>
    <t xml:space="preserve">SQLPath — Project Tracker</t>
  </si>
  <si>
    <t xml:space="preserve">Cohort-based SQL practice platform · NestJS + Next.js monorepo · last synced against codebase 2026-08-22</t>
  </si>
  <si>
    <t xml:space="preserve">How to use this workbook</t>
  </si>
  <si>
    <t xml:space="preserve">•  Tasks — general backlog for backend/frontend work. Update Status and % Complete as you go.</t>
  </si>
  <si>
    <t xml:space="preserve">•  Known Issues &amp; Gaps — the specific gaps called out in project docs (migrations, tests, seed data) plus bugs you find.</t>
  </si>
  <si>
    <t xml:space="preserve">•  Question Bank — tracks progress toward the ~350 planned SQL questions by phase/platform/difficulty.</t>
  </si>
  <si>
    <t xml:space="preserve">•  Deployment Checklist — readiness items for shipping the Railway monolith deploy.</t>
  </si>
  <si>
    <t xml:space="preserve">•  Cells shaded yellow are meant to be edited. Dropdowns are provided for Status/Priority columns.</t>
  </si>
  <si>
    <t xml:space="preserve">Snapshot</t>
  </si>
  <si>
    <t xml:space="preserve">Metric</t>
  </si>
  <si>
    <t xml:space="preserve">Value</t>
  </si>
  <si>
    <t xml:space="preserve">Total tasks</t>
  </si>
  <si>
    <t xml:space="preserve">Tasks done</t>
  </si>
  <si>
    <t xml:space="preserve">Tasks in progress</t>
  </si>
  <si>
    <t xml:space="preserve">Tasks blocked</t>
  </si>
  <si>
    <t xml:space="preserve">Open known issues</t>
  </si>
  <si>
    <t xml:space="preserve">Questions seeded</t>
  </si>
  <si>
    <t xml:space="preserve">Questions planned</t>
  </si>
  <si>
    <t xml:space="preserve">Question bank completion</t>
  </si>
  <si>
    <t xml:space="preserve">Deployment items done</t>
  </si>
  <si>
    <t xml:space="preserve">Deployment items total</t>
  </si>
  <si>
    <t xml:space="preserve">Task / Feature Tracker</t>
  </si>
  <si>
    <t xml:space="preserve">Backend + frontend backlog</t>
  </si>
  <si>
    <t xml:space="preserve">ID</t>
  </si>
  <si>
    <t xml:space="preserve">Area</t>
  </si>
  <si>
    <t xml:space="preserve">Task</t>
  </si>
  <si>
    <t xml:space="preserve">Description</t>
  </si>
  <si>
    <t xml:space="preserve">Status</t>
  </si>
  <si>
    <t xml:space="preserve">Priority</t>
  </si>
  <si>
    <t xml:space="preserve">Owner</t>
  </si>
  <si>
    <t xml:space="preserve">Notes</t>
  </si>
  <si>
    <t xml:space="preserve">Backend</t>
  </si>
  <si>
    <t xml:space="preserve">Write initial SQL migrations</t>
  </si>
  <si>
    <t xml:space="preserve">Create migration files for users, questions, solves, cohorts, score_ledger, daily_activity, trust_events, anti_gaming_flags, verification_queue tables</t>
  </si>
  <si>
    <t xml:space="preserve">Not Started</t>
  </si>
  <si>
    <t xml:space="preserve">High</t>
  </si>
  <si>
    <t xml:space="preserve">synchronize is off; schema must exist before app/seed run. Still no migrations/ folder as of latest review.</t>
  </si>
  <si>
    <t xml:space="preserve">Expand question bank seed data</t>
  </si>
  <si>
    <t xml:space="preserve">Grow seed/seed.ts toward the ~350 planned questions</t>
  </si>
  <si>
    <t xml:space="preserve">In Progress</t>
  </si>
  <si>
    <t xml:space="preserve">Medium</t>
  </si>
  <si>
    <t xml:space="preserve">31/350 seeded (up from ~30), covering phases 1-6 only; phases 7-8 (CTEs &amp; Recursion, Production Case Studies) have none yet</t>
  </si>
  <si>
    <t xml:space="preserve">Add automated test suite</t>
  </si>
  <si>
    <t xml:space="preserve">No tests exist yet; start with auth, solves scoring, and verification tier routing</t>
  </si>
  <si>
    <t xml:space="preserve">still no test/ directory in backend</t>
  </si>
  <si>
    <t xml:space="preserve">Frontend</t>
  </si>
  <si>
    <t xml:space="preserve">Add shared API response types</t>
  </si>
  <si>
    <t xml:space="preserve">api.ts responses are largely `any`; define shared types with backend DTOs</t>
  </si>
  <si>
    <t xml:space="preserve">Low</t>
  </si>
  <si>
    <t xml:space="preserve">auth/profiles calls now have partial typed shapes, but most responses (questions, solves, mentor) are still `any`</t>
  </si>
  <si>
    <t xml:space="preserve">DevOps</t>
  </si>
  <si>
    <t xml:space="preserve">Verify Railway monolith deploy</t>
  </si>
  <si>
    <t xml:space="preserve">Confirm Dockerfile + docker-entrypoint.js behave correctly end-to-end on Railway</t>
  </si>
  <si>
    <t xml:space="preserve">see DEPLOY-MONOLITH.md; no changes detected to Dockerfile/entrypoint since last review</t>
  </si>
  <si>
    <t xml:space="preserve">Add boot-time env var validation</t>
  </si>
  <si>
    <t xml:space="preserve">Fail fast with a clear error if DATABASE_URL/JWT_SECRET are missing or JWT_SECRET is too short</t>
  </si>
  <si>
    <t xml:space="preserve">Done</t>
  </si>
  <si>
    <t xml:space="preserve">src/config/env.validation.ts added</t>
  </si>
  <si>
    <t xml:space="preserve">Build multi-platform profile stats</t>
  </si>
  <si>
    <t xml:space="preserve">New profiles module: link Codeforces/GeeksforGeeks/HackerRank usernames and fetch stats per platform, alongside existing LeetCode verification</t>
  </si>
  <si>
    <t xml:space="preserve">profiles.controller.ts / profiles.service.ts + frontend api.ts wiring</t>
  </si>
  <si>
    <t xml:space="preserve">Build Activity page</t>
  </si>
  <si>
    <t xml:space="preserve">Student-facing feed combining solves, verifications, and per-platform stats</t>
  </si>
  <si>
    <t xml:space="preserve">src/app/activity/page.tsx</t>
  </si>
  <si>
    <t xml:space="preserve">Build Progress page</t>
  </si>
  <si>
    <t xml:space="preserve">Phase-by-phase roadmap detail view (1. Basics &amp; Filtering → 8. Production Case Studies)</t>
  </si>
  <si>
    <t xml:space="preserve">src/app/progress/page.tsx</t>
  </si>
  <si>
    <t xml:space="preserve">UI/UX overhaul</t>
  </si>
  <si>
    <t xml:space="preserve">Design-token based theming, framer-motion animations, Confetti/CountUp/Loader/Skeleton components, new StudentLayout shell, toast notifications</t>
  </si>
  <si>
    <t xml:space="preserve">package.json now includes framer-motion; several new components under src/components</t>
  </si>
  <si>
    <t xml:space="preserve">Simplify role model</t>
  </si>
  <si>
    <t xml:space="preserve">Collapsed mentor/admin distinction to a single ADMIN role (Role enum now STUDENT | ADMIN only)</t>
  </si>
  <si>
    <t xml:space="preserve">PROJECT.md docs still describe a separate 'mentor' role — docs are stale, recommend updating</t>
  </si>
  <si>
    <t xml:space="preserve">Known Issues &amp; Gaps</t>
  </si>
  <si>
    <t xml:space="preserve">Seeded from current project docs — add bugs as you find them</t>
  </si>
  <si>
    <t xml:space="preserve">Type</t>
  </si>
  <si>
    <t xml:space="preserve">Impact</t>
  </si>
  <si>
    <t xml:space="preserve">Date Logged</t>
  </si>
  <si>
    <t xml:space="preserve">Gap</t>
  </si>
  <si>
    <t xml:space="preserve">Backend/DB</t>
  </si>
  <si>
    <t xml:space="preserve">No SQL migration files present</t>
  </si>
  <si>
    <t xml:space="preserve">Schema must be manually applied to Postgres before app or seed script will run</t>
  </si>
  <si>
    <t xml:space="preserve">Open</t>
  </si>
  <si>
    <t xml:space="preserve">TypeORM synchronize is intentionally off; still true as of latest review</t>
  </si>
  <si>
    <t xml:space="preserve">Question bank incomplete</t>
  </si>
  <si>
    <t xml:space="preserve">31 of ~350 planned questions seeded; phases 7-8 have zero questions</t>
  </si>
  <si>
    <t xml:space="preserve">seed/seed.ts covers phases 1-6 only (10/5/5/5/3/3)</t>
  </si>
  <si>
    <t xml:space="preserve">No automated test suite</t>
  </si>
  <si>
    <t xml:space="preserve">No safety net for regressions in scoring/verification/anti-gaming logic</t>
  </si>
  <si>
    <t xml:space="preserve">No shared type contract with backend</t>
  </si>
  <si>
    <t xml:space="preserve">Most API response types are still `any` in api.ts</t>
  </si>
  <si>
    <t xml:space="preserve">Improved slightly — profiles/auth endpoints now have partial typed shapes</t>
  </si>
  <si>
    <t xml:space="preserve">Tech Debt</t>
  </si>
  <si>
    <t xml:space="preserve">Docs</t>
  </si>
  <si>
    <t xml:space="preserve">PROJECT.md files are out of date vs. code</t>
  </si>
  <si>
    <t xml:space="preserve">Backend/frontend PROJECT.md still describe a 3-role model (student/mentor/admin) and the older phase names/question counts; code has since simplified to student/admin and added profiles, activity, and progress features</t>
  </si>
  <si>
    <t xml:space="preserve">Recommend refreshing PROJECT.md alongside future feature work</t>
  </si>
  <si>
    <t xml:space="preserve">GeeksforGeeks has no seeded questions</t>
  </si>
  <si>
    <t xml:space="preserve">Platform enum includes GEEKSFORGEEKS for the question bank, but seed.ts currently seeds 0 questions on it (only used today for profile-stats linking)</t>
  </si>
  <si>
    <t xml:space="preserve">Question Bank Progress</t>
  </si>
  <si>
    <t xml:space="preserve">Target: ~350 questions across 8 phases (Basics &amp; Filtering → Production Case Studies)</t>
  </si>
  <si>
    <t xml:space="preserve">Phase</t>
  </si>
  <si>
    <t xml:space="preserve">Platform(s)</t>
  </si>
  <si>
    <t xml:space="preserve">Planned Qs</t>
  </si>
  <si>
    <t xml:space="preserve">Seeded Qs</t>
  </si>
  <si>
    <t xml:space="preserve">% Complete</t>
  </si>
  <si>
    <t xml:space="preserve">1. Basics &amp; Filtering</t>
  </si>
  <si>
    <t xml:space="preserve">LeetCode, HackerRank, SQLZoo</t>
  </si>
  <si>
    <t xml:space="preserve">SELECT, WHERE, LIKE, IN/BETWEEN, ORDER BY, LIMIT</t>
  </si>
  <si>
    <t xml:space="preserve">2. String, Date &amp; CASE</t>
  </si>
  <si>
    <t xml:space="preserve">LeetCode, HackerRank</t>
  </si>
  <si>
    <t xml:space="preserve">CONCAT, SUBSTRING, DATE_ADD, CASE WHEN, COALESCE</t>
  </si>
  <si>
    <t xml:space="preserve">3. Aggregation &amp; Grouping</t>
  </si>
  <si>
    <t xml:space="preserve">LeetCode, DataLemur</t>
  </si>
  <si>
    <t xml:space="preserve">COUNT, SUM/AVG, GROUP BY, HAVING, DISTINCT</t>
  </si>
  <si>
    <t xml:space="preserve">4. Joins &amp; Relational Data</t>
  </si>
  <si>
    <t xml:space="preserve">LeetCode, StrataScratch</t>
  </si>
  <si>
    <t xml:space="preserve">INNER/LEFT/RIGHT/SELF/CROSS JOIN</t>
  </si>
  <si>
    <t xml:space="preserve">5. Subqueries &amp; Set Operations</t>
  </si>
  <si>
    <t xml:space="preserve">Subqueries, EXISTS, UNION/UNION ALL</t>
  </si>
  <si>
    <t xml:space="preserve">6. Window Functions</t>
  </si>
  <si>
    <t xml:space="preserve">ROW_NUMBER, RANK, LEAD/LAG, OVER (PARTITION BY)</t>
  </si>
  <si>
    <t xml:space="preserve">7. CTEs &amp; Recursion</t>
  </si>
  <si>
    <t xml:space="preserve">DataLemur, GeeksforGeeks</t>
  </si>
  <si>
    <t xml:space="preserve">Not yet seeded — WITH clauses, recursive CTEs, hierarchies</t>
  </si>
  <si>
    <t xml:space="preserve">8. Production Case Studies</t>
  </si>
  <si>
    <t xml:space="preserve">StrataScratch, DataLemur</t>
  </si>
  <si>
    <t xml:space="preserve">Not yet seeded — retention/funnel/revenue analysis, optimization</t>
  </si>
  <si>
    <t xml:space="preserve">Total</t>
  </si>
  <si>
    <t xml:space="preserve">Deployment Checklist</t>
  </si>
  <si>
    <t xml:space="preserve">Railway monolith deploy — see DEPLOY-MONOLITH.md</t>
  </si>
  <si>
    <t xml:space="preserve">Item</t>
  </si>
  <si>
    <t xml:space="preserve">Category</t>
  </si>
  <si>
    <t xml:space="preserve">Details</t>
  </si>
  <si>
    <t xml:space="preserve">DATABASE_URL set</t>
  </si>
  <si>
    <t xml:space="preserve">Env Vars</t>
  </si>
  <si>
    <t xml:space="preserve">Postgres/Supabase connection string</t>
  </si>
  <si>
    <t xml:space="preserve">JWT_SECRET / JWT_EXPIRES_IN set</t>
  </si>
  <si>
    <t xml:space="preserve">SUPABASE_URL / SUPABASE_SERVICE_KEY set</t>
  </si>
  <si>
    <t xml:space="preserve">SCREENSHOT_BUCKET configured</t>
  </si>
  <si>
    <t xml:space="preserve">Supabase Storage bucket for solve screenshots</t>
  </si>
  <si>
    <t xml:space="preserve">FRONTEND_URL set for CORS</t>
  </si>
  <si>
    <t xml:space="preserve">BACKEND_INTERNAL_URL / BACKEND_INTERNAL_PORT set</t>
  </si>
  <si>
    <t xml:space="preserve">Used by docker-entrypoint.js and next.config.ts rewrite</t>
  </si>
  <si>
    <t xml:space="preserve">SQL schema applied to target DB</t>
  </si>
  <si>
    <t xml:space="preserve">Database</t>
  </si>
  <si>
    <t xml:space="preserve">synchronize is off — migrations must run first</t>
  </si>
  <si>
    <t xml:space="preserve">Seed script run (if demo data desired)</t>
  </si>
  <si>
    <t xml:space="preserve">npm run seed</t>
  </si>
  <si>
    <t xml:space="preserve">Docker image builds locally</t>
  </si>
  <si>
    <t xml:space="preserve">Build</t>
  </si>
  <si>
    <t xml:space="preserve">npm run docker:build</t>
  </si>
  <si>
    <t xml:space="preserve">Docker image runs locally</t>
  </si>
  <si>
    <t xml:space="preserve">npm run docker:run</t>
  </si>
  <si>
    <t xml:space="preserve">railway.json (root) used, not per-app ones</t>
  </si>
  <si>
    <t xml:space="preserve">Deploy Config</t>
  </si>
  <si>
    <t xml:space="preserve">Don't mix root and per-service railway.json files</t>
  </si>
  <si>
    <t xml:space="preserve">Health check / restart-on-crash verified</t>
  </si>
  <si>
    <t xml:space="preserve">Entrypoint exits if either process dies</t>
  </si>
  <si>
    <t xml:space="preserve">Production smoke test: login + submit a solve</t>
  </si>
  <si>
    <t xml:space="preserve">Verification</t>
  </si>
  <si>
    <t xml:space="preserve">Production smoke test: mentor/admin queue + risk dashboard</t>
  </si>
  <si>
    <t xml:space="preserve">Role model simplified to STUDENT/ADMIN — 'mentor' is now just the admin-facing UI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</si>
</sst>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%"/>
    <numFmt numFmtId="167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F2F2F2"/>
      </patternFill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6500"/>
          <bgColor rgb="FF000000"/>
        </patternFill>
      </fill>
    </dxf>
    <dxf>
      <font>
        <name val="Arial"/>
        <charset val="1"/>
        <family val="0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color rgb="FF9C6500"/>
      </font>
      <fill>
        <patternFill>
          <bgColor rgb="FFFFEB9C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9C000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6" min="3" style="0" width="14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  <c r="F4" s="3"/>
    </row>
    <row r="5" customFormat="false" ht="15" hidden="false" customHeight="false" outlineLevel="0" collapsed="false">
      <c r="A5" s="4" t="s">
        <v>3</v>
      </c>
      <c r="B5" s="4"/>
      <c r="C5" s="4"/>
      <c r="D5" s="4"/>
      <c r="E5" s="4"/>
      <c r="F5" s="4"/>
    </row>
    <row r="6" customFormat="false" ht="15" hidden="false" customHeight="false" outlineLevel="0" collapsed="false">
      <c r="A6" s="4" t="s">
        <v>4</v>
      </c>
      <c r="B6" s="4"/>
      <c r="C6" s="4"/>
      <c r="D6" s="4"/>
      <c r="E6" s="4"/>
      <c r="F6" s="4"/>
    </row>
    <row r="7" customFormat="false" ht="15" hidden="false" customHeight="false" outlineLevel="0" collapsed="false">
      <c r="A7" s="4" t="s">
        <v>5</v>
      </c>
      <c r="B7" s="4"/>
      <c r="C7" s="4"/>
      <c r="D7" s="4"/>
      <c r="E7" s="4"/>
      <c r="F7" s="4"/>
    </row>
    <row r="8" customFormat="false" ht="15" hidden="false" customHeight="false" outlineLevel="0" collapsed="false">
      <c r="A8" s="4" t="s">
        <v>6</v>
      </c>
      <c r="B8" s="4"/>
      <c r="C8" s="4"/>
      <c r="D8" s="4"/>
      <c r="E8" s="4"/>
      <c r="F8" s="4"/>
    </row>
    <row r="9" customFormat="false" ht="15" hidden="false" customHeight="false" outlineLevel="0" collapsed="false">
      <c r="A9" s="4" t="s">
        <v>7</v>
      </c>
      <c r="B9" s="4"/>
      <c r="C9" s="4"/>
      <c r="D9" s="4"/>
      <c r="E9" s="4"/>
      <c r="F9" s="4"/>
    </row>
    <row r="11" customFormat="false" ht="15" hidden="false" customHeight="false" outlineLevel="0" collapsed="false">
      <c r="A11" s="3" t="s">
        <v>8</v>
      </c>
      <c r="B11" s="3"/>
      <c r="C11" s="3"/>
      <c r="D11" s="3"/>
      <c r="E11" s="3"/>
      <c r="F11" s="3"/>
    </row>
    <row r="12" customFormat="false" ht="15" hidden="false" customHeight="false" outlineLevel="0" collapsed="false">
      <c r="A12" s="5" t="s">
        <v>9</v>
      </c>
      <c r="B12" s="5" t="s">
        <v>10</v>
      </c>
    </row>
    <row r="13" customFormat="false" ht="15" hidden="false" customHeight="false" outlineLevel="0" collapsed="false">
      <c r="A13" s="6" t="s">
        <v>11</v>
      </c>
      <c r="B13" s="7" t="n">
        <f aca="false">COUNTA(Tasks!A5:A500)</f>
        <v>11</v>
      </c>
    </row>
    <row r="14" customFormat="false" ht="15" hidden="false" customHeight="false" outlineLevel="0" collapsed="false">
      <c r="A14" s="8" t="s">
        <v>12</v>
      </c>
      <c r="B14" s="9" t="n">
        <f aca="false">COUNTIF(Tasks!E5:E500,"Done")</f>
        <v>6</v>
      </c>
    </row>
    <row r="15" customFormat="false" ht="15" hidden="false" customHeight="false" outlineLevel="0" collapsed="false">
      <c r="A15" s="6" t="s">
        <v>13</v>
      </c>
      <c r="B15" s="7" t="n">
        <f aca="false">COUNTIF(Tasks!E5:E500,"In Progress")</f>
        <v>2</v>
      </c>
    </row>
    <row r="16" customFormat="false" ht="15" hidden="false" customHeight="false" outlineLevel="0" collapsed="false">
      <c r="A16" s="8" t="s">
        <v>14</v>
      </c>
      <c r="B16" s="9" t="n">
        <f aca="false">COUNTIF(Tasks!E5:E500,"Blocked")</f>
        <v>0</v>
      </c>
    </row>
    <row r="17" customFormat="false" ht="15" hidden="false" customHeight="false" outlineLevel="0" collapsed="false">
      <c r="A17" s="6" t="s">
        <v>15</v>
      </c>
      <c r="B17" s="7" t="n">
        <f aca="false">COUNTIF('Known Issues &amp; Gaps'!F5:F500,"Open")</f>
        <v>6</v>
      </c>
    </row>
    <row r="18" customFormat="false" ht="15" hidden="false" customHeight="false" outlineLevel="0" collapsed="false">
      <c r="A18" s="8" t="s">
        <v>16</v>
      </c>
      <c r="B18" s="9" t="n">
        <f aca="false">SUM('Question Bank'!D5:D12)</f>
        <v>31</v>
      </c>
    </row>
    <row r="19" customFormat="false" ht="15" hidden="false" customHeight="false" outlineLevel="0" collapsed="false">
      <c r="A19" s="6" t="s">
        <v>17</v>
      </c>
      <c r="B19" s="7" t="n">
        <f aca="false">SUM('Question Bank'!C5:C12)</f>
        <v>350</v>
      </c>
    </row>
    <row r="20" customFormat="false" ht="15" hidden="false" customHeight="false" outlineLevel="0" collapsed="false">
      <c r="A20" s="8" t="s">
        <v>18</v>
      </c>
      <c r="B20" s="10" t="n">
        <f aca="false">IFERROR(SUM('Question Bank'!D5:D12)/SUM('Question Bank'!C5:C12),0)</f>
        <v>0.0885714285714286</v>
      </c>
    </row>
    <row r="21" customFormat="false" ht="15" hidden="false" customHeight="false" outlineLevel="0" collapsed="false">
      <c r="A21" s="6" t="s">
        <v>19</v>
      </c>
      <c r="B21" s="7" t="n">
        <f aca="false">COUNTIF('Deployment Checklist'!D5:D60,"Done")</f>
        <v>0</v>
      </c>
    </row>
    <row r="22" customFormat="false" ht="15" hidden="false" customHeight="false" outlineLevel="0" collapsed="false">
      <c r="A22" s="8" t="s">
        <v>20</v>
      </c>
      <c r="B22" s="9" t="n">
        <f aca="false">COUNTA('Deployment Checklist'!A5:A60)</f>
        <v>14</v>
      </c>
    </row>
  </sheetData>
  <mergeCells count="9">
    <mergeCell ref="A1:F1"/>
    <mergeCell ref="A2:F2"/>
    <mergeCell ref="A4:F4"/>
    <mergeCell ref="A5:F5"/>
    <mergeCell ref="A6:F6"/>
    <mergeCell ref="A7:F7"/>
    <mergeCell ref="A8:F8"/>
    <mergeCell ref="A9:F9"/>
    <mergeCell ref="A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30"/>
    <col collapsed="false" customWidth="true" hidden="false" outlineLevel="0" max="4" min="4" style="0" width="42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30"/>
  </cols>
  <sheetData>
    <row r="1" customFormat="false" ht="25.5" hidden="false" customHeight="true" outlineLevel="0" collapsed="false">
      <c r="A1" s="1" t="s">
        <v>21</v>
      </c>
      <c r="B1" s="1"/>
      <c r="C1" s="1"/>
      <c r="D1" s="1"/>
      <c r="E1" s="1"/>
      <c r="F1" s="1"/>
      <c r="G1" s="1"/>
      <c r="H1" s="1"/>
    </row>
    <row r="2" customFormat="false" ht="15.75" hidden="false" customHeight="true" outlineLevel="0" collapsed="false">
      <c r="A2" s="2" t="s">
        <v>22</v>
      </c>
      <c r="B2" s="2"/>
      <c r="C2" s="2"/>
      <c r="D2" s="2"/>
      <c r="E2" s="2"/>
      <c r="F2" s="2"/>
      <c r="G2" s="2"/>
      <c r="H2" s="2"/>
    </row>
    <row r="4" customFormat="false" ht="21.75" hidden="false" customHeight="true" outlineLevel="0" collapsed="false">
      <c r="A4" s="5" t="s">
        <v>23</v>
      </c>
      <c r="B4" s="5" t="s">
        <v>24</v>
      </c>
      <c r="C4" s="5" t="s">
        <v>25</v>
      </c>
      <c r="D4" s="5" t="s">
        <v>26</v>
      </c>
      <c r="E4" s="5" t="s">
        <v>27</v>
      </c>
      <c r="F4" s="5" t="s">
        <v>28</v>
      </c>
      <c r="G4" s="5" t="s">
        <v>29</v>
      </c>
      <c r="H4" s="5" t="s">
        <v>30</v>
      </c>
    </row>
    <row r="5" customFormat="false" ht="35.05" hidden="false" customHeight="false" outlineLevel="0" collapsed="false">
      <c r="A5" s="11" t="n">
        <v>1</v>
      </c>
      <c r="B5" s="11" t="s">
        <v>31</v>
      </c>
      <c r="C5" s="11" t="s">
        <v>32</v>
      </c>
      <c r="D5" s="11" t="s">
        <v>33</v>
      </c>
      <c r="E5" s="11" t="s">
        <v>34</v>
      </c>
      <c r="F5" s="11" t="s">
        <v>35</v>
      </c>
      <c r="G5" s="11"/>
      <c r="H5" s="11" t="s">
        <v>36</v>
      </c>
    </row>
    <row r="6" customFormat="false" ht="46.25" hidden="false" customHeight="false" outlineLevel="0" collapsed="false">
      <c r="A6" s="11" t="n">
        <v>2</v>
      </c>
      <c r="B6" s="11" t="s">
        <v>31</v>
      </c>
      <c r="C6" s="11" t="s">
        <v>37</v>
      </c>
      <c r="D6" s="11" t="s">
        <v>38</v>
      </c>
      <c r="E6" s="11" t="s">
        <v>39</v>
      </c>
      <c r="F6" s="11" t="s">
        <v>40</v>
      </c>
      <c r="G6" s="11"/>
      <c r="H6" s="11" t="s">
        <v>41</v>
      </c>
    </row>
    <row r="7" customFormat="false" ht="23.85" hidden="false" customHeight="false" outlineLevel="0" collapsed="false">
      <c r="A7" s="11" t="n">
        <v>3</v>
      </c>
      <c r="B7" s="11" t="s">
        <v>31</v>
      </c>
      <c r="C7" s="11" t="s">
        <v>42</v>
      </c>
      <c r="D7" s="11" t="s">
        <v>43</v>
      </c>
      <c r="E7" s="11" t="s">
        <v>34</v>
      </c>
      <c r="F7" s="11" t="s">
        <v>40</v>
      </c>
      <c r="G7" s="11"/>
      <c r="H7" s="11" t="s">
        <v>44</v>
      </c>
    </row>
    <row r="8" customFormat="false" ht="46.25" hidden="false" customHeight="false" outlineLevel="0" collapsed="false">
      <c r="A8" s="11" t="n">
        <v>4</v>
      </c>
      <c r="B8" s="11" t="s">
        <v>45</v>
      </c>
      <c r="C8" s="11" t="s">
        <v>46</v>
      </c>
      <c r="D8" s="11" t="s">
        <v>47</v>
      </c>
      <c r="E8" s="11" t="s">
        <v>39</v>
      </c>
      <c r="F8" s="11" t="s">
        <v>48</v>
      </c>
      <c r="G8" s="11"/>
      <c r="H8" s="11" t="s">
        <v>49</v>
      </c>
    </row>
    <row r="9" customFormat="false" ht="46.25" hidden="false" customHeight="false" outlineLevel="0" collapsed="false">
      <c r="A9" s="11" t="n">
        <v>5</v>
      </c>
      <c r="B9" s="11" t="s">
        <v>50</v>
      </c>
      <c r="C9" s="11" t="s">
        <v>51</v>
      </c>
      <c r="D9" s="11" t="s">
        <v>52</v>
      </c>
      <c r="E9" s="11" t="s">
        <v>34</v>
      </c>
      <c r="F9" s="11" t="s">
        <v>35</v>
      </c>
      <c r="G9" s="11"/>
      <c r="H9" s="11" t="s">
        <v>53</v>
      </c>
    </row>
    <row r="10" customFormat="false" ht="35.05" hidden="false" customHeight="false" outlineLevel="0" collapsed="false">
      <c r="A10" s="11" t="n">
        <v>6</v>
      </c>
      <c r="B10" s="11" t="s">
        <v>31</v>
      </c>
      <c r="C10" s="11" t="s">
        <v>54</v>
      </c>
      <c r="D10" s="11" t="s">
        <v>55</v>
      </c>
      <c r="E10" s="11" t="s">
        <v>56</v>
      </c>
      <c r="F10" s="11" t="s">
        <v>40</v>
      </c>
      <c r="G10" s="11"/>
      <c r="H10" s="11" t="s">
        <v>57</v>
      </c>
    </row>
    <row r="11" customFormat="false" ht="46.25" hidden="false" customHeight="false" outlineLevel="0" collapsed="false">
      <c r="A11" s="11" t="n">
        <v>7</v>
      </c>
      <c r="B11" s="11" t="s">
        <v>31</v>
      </c>
      <c r="C11" s="11" t="s">
        <v>58</v>
      </c>
      <c r="D11" s="11" t="s">
        <v>59</v>
      </c>
      <c r="E11" s="11" t="s">
        <v>56</v>
      </c>
      <c r="F11" s="11" t="s">
        <v>40</v>
      </c>
      <c r="G11" s="11"/>
      <c r="H11" s="11" t="s">
        <v>60</v>
      </c>
    </row>
    <row r="12" customFormat="false" ht="23.85" hidden="false" customHeight="false" outlineLevel="0" collapsed="false">
      <c r="A12" s="11" t="n">
        <v>8</v>
      </c>
      <c r="B12" s="11" t="s">
        <v>45</v>
      </c>
      <c r="C12" s="11" t="s">
        <v>61</v>
      </c>
      <c r="D12" s="11" t="s">
        <v>62</v>
      </c>
      <c r="E12" s="11" t="s">
        <v>56</v>
      </c>
      <c r="F12" s="11" t="s">
        <v>40</v>
      </c>
      <c r="G12" s="11"/>
      <c r="H12" s="11" t="s">
        <v>63</v>
      </c>
    </row>
    <row r="13" customFormat="false" ht="23.85" hidden="false" customHeight="false" outlineLevel="0" collapsed="false">
      <c r="A13" s="11" t="n">
        <v>9</v>
      </c>
      <c r="B13" s="11" t="s">
        <v>45</v>
      </c>
      <c r="C13" s="11" t="s">
        <v>64</v>
      </c>
      <c r="D13" s="11" t="s">
        <v>65</v>
      </c>
      <c r="E13" s="11" t="s">
        <v>56</v>
      </c>
      <c r="F13" s="11" t="s">
        <v>40</v>
      </c>
      <c r="G13" s="11"/>
      <c r="H13" s="11" t="s">
        <v>66</v>
      </c>
    </row>
    <row r="14" customFormat="false" ht="46.25" hidden="false" customHeight="false" outlineLevel="0" collapsed="false">
      <c r="A14" s="11" t="n">
        <v>10</v>
      </c>
      <c r="B14" s="11" t="s">
        <v>45</v>
      </c>
      <c r="C14" s="11" t="s">
        <v>67</v>
      </c>
      <c r="D14" s="11" t="s">
        <v>68</v>
      </c>
      <c r="E14" s="11" t="s">
        <v>56</v>
      </c>
      <c r="F14" s="11" t="s">
        <v>40</v>
      </c>
      <c r="G14" s="11"/>
      <c r="H14" s="11" t="s">
        <v>69</v>
      </c>
    </row>
    <row r="15" customFormat="false" ht="35.05" hidden="false" customHeight="false" outlineLevel="0" collapsed="false">
      <c r="A15" s="11" t="n">
        <v>11</v>
      </c>
      <c r="B15" s="11" t="s">
        <v>31</v>
      </c>
      <c r="C15" s="11" t="s">
        <v>70</v>
      </c>
      <c r="D15" s="11" t="s">
        <v>71</v>
      </c>
      <c r="E15" s="11" t="s">
        <v>56</v>
      </c>
      <c r="F15" s="11" t="s">
        <v>48</v>
      </c>
      <c r="G15" s="11"/>
      <c r="H15" s="11" t="s">
        <v>72</v>
      </c>
    </row>
    <row r="16" customFormat="false" ht="15" hidden="false" customHeight="false" outlineLevel="0" collapsed="false">
      <c r="A16" s="6"/>
      <c r="B16" s="6"/>
      <c r="C16" s="6"/>
      <c r="D16" s="6"/>
      <c r="E16" s="6"/>
      <c r="F16" s="6"/>
      <c r="G16" s="6"/>
      <c r="H16" s="6"/>
    </row>
    <row r="17" customFormat="false" ht="15" hidden="false" customHeight="false" outlineLevel="0" collapsed="false">
      <c r="A17" s="6"/>
      <c r="B17" s="6"/>
      <c r="C17" s="6"/>
      <c r="D17" s="6"/>
      <c r="E17" s="6"/>
      <c r="F17" s="6"/>
      <c r="G17" s="6"/>
      <c r="H17" s="6"/>
    </row>
    <row r="18" customFormat="false" ht="15" hidden="false" customHeight="false" outlineLevel="0" collapsed="false">
      <c r="A18" s="6"/>
      <c r="B18" s="6"/>
      <c r="C18" s="6"/>
      <c r="D18" s="6"/>
      <c r="E18" s="6"/>
      <c r="F18" s="6"/>
      <c r="G18" s="6"/>
      <c r="H18" s="6"/>
    </row>
    <row r="19" customFormat="false" ht="15" hidden="false" customHeight="false" outlineLevel="0" collapsed="false">
      <c r="A19" s="6"/>
      <c r="B19" s="6"/>
      <c r="C19" s="6"/>
      <c r="D19" s="6"/>
      <c r="E19" s="6"/>
      <c r="F19" s="6"/>
      <c r="G19" s="6"/>
      <c r="H19" s="6"/>
    </row>
    <row r="20" customFormat="false" ht="15" hidden="false" customHeight="false" outlineLevel="0" collapsed="false">
      <c r="A20" s="6"/>
      <c r="B20" s="6"/>
      <c r="C20" s="6"/>
      <c r="D20" s="6"/>
      <c r="E20" s="6"/>
      <c r="F20" s="6"/>
      <c r="G20" s="6"/>
      <c r="H20" s="6"/>
    </row>
    <row r="21" customFormat="false" ht="15" hidden="false" customHeight="false" outlineLevel="0" collapsed="false">
      <c r="A21" s="6"/>
      <c r="B21" s="6"/>
      <c r="C21" s="6"/>
      <c r="D21" s="6"/>
      <c r="E21" s="6"/>
      <c r="F21" s="6"/>
      <c r="G21" s="6"/>
      <c r="H21" s="6"/>
    </row>
    <row r="22" customFormat="false" ht="15" hidden="false" customHeight="false" outlineLevel="0" collapsed="false">
      <c r="A22" s="6"/>
      <c r="B22" s="6"/>
      <c r="C22" s="6"/>
      <c r="D22" s="6"/>
      <c r="E22" s="6"/>
      <c r="F22" s="6"/>
      <c r="G22" s="6"/>
      <c r="H22" s="6"/>
    </row>
    <row r="23" customFormat="false" ht="15" hidden="false" customHeight="false" outlineLevel="0" collapsed="false">
      <c r="A23" s="6"/>
      <c r="B23" s="6"/>
      <c r="C23" s="6"/>
      <c r="D23" s="6"/>
      <c r="E23" s="6"/>
      <c r="F23" s="6"/>
      <c r="G23" s="6"/>
      <c r="H23" s="6"/>
    </row>
    <row r="24" customFormat="false" ht="15" hidden="false" customHeight="false" outlineLevel="0" collapsed="false">
      <c r="A24" s="6"/>
      <c r="B24" s="6"/>
      <c r="C24" s="6"/>
      <c r="D24" s="6"/>
      <c r="E24" s="6"/>
      <c r="F24" s="6"/>
      <c r="G24" s="6"/>
      <c r="H24" s="6"/>
    </row>
    <row r="25" customFormat="false" ht="15" hidden="false" customHeight="false" outlineLevel="0" collapsed="false">
      <c r="A25" s="6"/>
      <c r="B25" s="6"/>
      <c r="C25" s="6"/>
      <c r="D25" s="6"/>
      <c r="E25" s="6"/>
      <c r="F25" s="6"/>
      <c r="G25" s="6"/>
      <c r="H25" s="6"/>
    </row>
    <row r="26" customFormat="false" ht="15" hidden="false" customHeight="false" outlineLevel="0" collapsed="false">
      <c r="A26" s="6"/>
      <c r="B26" s="6"/>
      <c r="C26" s="6"/>
      <c r="D26" s="6"/>
      <c r="E26" s="6"/>
      <c r="F26" s="6"/>
      <c r="G26" s="6"/>
      <c r="H26" s="6"/>
    </row>
    <row r="27" customFormat="false" ht="15" hidden="false" customHeight="false" outlineLevel="0" collapsed="false">
      <c r="A27" s="6"/>
      <c r="B27" s="6"/>
      <c r="C27" s="6"/>
      <c r="D27" s="6"/>
      <c r="E27" s="6"/>
      <c r="F27" s="6"/>
      <c r="G27" s="6"/>
      <c r="H27" s="6"/>
    </row>
    <row r="28" customFormat="false" ht="15" hidden="false" customHeight="false" outlineLevel="0" collapsed="false">
      <c r="A28" s="6"/>
      <c r="B28" s="6"/>
      <c r="C28" s="6"/>
      <c r="D28" s="6"/>
      <c r="E28" s="6"/>
      <c r="F28" s="6"/>
      <c r="G28" s="6"/>
      <c r="H28" s="6"/>
    </row>
    <row r="29" customFormat="false" ht="15" hidden="false" customHeight="false" outlineLevel="0" collapsed="false">
      <c r="A29" s="6"/>
      <c r="B29" s="6"/>
      <c r="C29" s="6"/>
      <c r="D29" s="6"/>
      <c r="E29" s="6"/>
      <c r="F29" s="6"/>
      <c r="G29" s="6"/>
      <c r="H29" s="6"/>
    </row>
    <row r="30" customFormat="false" ht="15" hidden="false" customHeight="false" outlineLevel="0" collapsed="false">
      <c r="A30" s="6"/>
      <c r="B30" s="6"/>
      <c r="C30" s="6"/>
      <c r="D30" s="6"/>
      <c r="E30" s="6"/>
      <c r="F30" s="6"/>
      <c r="G30" s="6"/>
      <c r="H30" s="6"/>
    </row>
    <row r="31" customFormat="false" ht="15" hidden="false" customHeight="false" outlineLevel="0" collapsed="false">
      <c r="A31" s="6"/>
      <c r="B31" s="6"/>
      <c r="C31" s="6"/>
      <c r="D31" s="6"/>
      <c r="E31" s="6"/>
      <c r="F31" s="6"/>
      <c r="G31" s="6"/>
      <c r="H31" s="6"/>
    </row>
    <row r="32" customFormat="false" ht="15" hidden="false" customHeight="false" outlineLevel="0" collapsed="false">
      <c r="A32" s="6"/>
      <c r="B32" s="6"/>
      <c r="C32" s="6"/>
      <c r="D32" s="6"/>
      <c r="E32" s="6"/>
      <c r="F32" s="6"/>
      <c r="G32" s="6"/>
      <c r="H32" s="6"/>
    </row>
    <row r="33" customFormat="false" ht="15" hidden="false" customHeight="false" outlineLevel="0" collapsed="false">
      <c r="A33" s="6"/>
      <c r="B33" s="6"/>
      <c r="C33" s="6"/>
      <c r="D33" s="6"/>
      <c r="E33" s="6"/>
      <c r="F33" s="6"/>
      <c r="G33" s="6"/>
      <c r="H33" s="6"/>
    </row>
    <row r="34" customFormat="false" ht="15" hidden="false" customHeight="false" outlineLevel="0" collapsed="false">
      <c r="A34" s="6"/>
      <c r="B34" s="6"/>
      <c r="C34" s="6"/>
      <c r="D34" s="6"/>
      <c r="E34" s="6"/>
      <c r="F34" s="6"/>
      <c r="G34" s="6"/>
      <c r="H34" s="6"/>
    </row>
    <row r="35" customFormat="false" ht="15" hidden="false" customHeight="false" outlineLevel="0" collapsed="false">
      <c r="A35" s="6"/>
      <c r="B35" s="6"/>
      <c r="C35" s="6"/>
      <c r="D35" s="6"/>
      <c r="E35" s="6"/>
      <c r="F35" s="6"/>
      <c r="G35" s="6"/>
      <c r="H35" s="6"/>
    </row>
    <row r="36" customFormat="false" ht="15" hidden="false" customHeight="false" outlineLevel="0" collapsed="false">
      <c r="A36" s="6"/>
      <c r="B36" s="6"/>
      <c r="C36" s="6"/>
      <c r="D36" s="6"/>
      <c r="E36" s="6"/>
      <c r="F36" s="6"/>
      <c r="G36" s="6"/>
      <c r="H36" s="6"/>
    </row>
    <row r="37" customFormat="false" ht="15" hidden="false" customHeight="false" outlineLevel="0" collapsed="false">
      <c r="A37" s="6"/>
      <c r="B37" s="6"/>
      <c r="C37" s="6"/>
      <c r="D37" s="6"/>
      <c r="E37" s="6"/>
      <c r="F37" s="6"/>
      <c r="G37" s="6"/>
      <c r="H37" s="6"/>
    </row>
    <row r="38" customFormat="false" ht="15" hidden="false" customHeight="false" outlineLevel="0" collapsed="false">
      <c r="A38" s="6"/>
      <c r="B38" s="6"/>
      <c r="C38" s="6"/>
      <c r="D38" s="6"/>
      <c r="E38" s="6"/>
      <c r="F38" s="6"/>
      <c r="G38" s="6"/>
      <c r="H38" s="6"/>
    </row>
    <row r="39" customFormat="false" ht="15" hidden="false" customHeight="false" outlineLevel="0" collapsed="false">
      <c r="A39" s="6"/>
      <c r="B39" s="6"/>
      <c r="C39" s="6"/>
      <c r="D39" s="6"/>
      <c r="E39" s="6"/>
      <c r="F39" s="6"/>
      <c r="G39" s="6"/>
      <c r="H39" s="6"/>
    </row>
    <row r="40" customFormat="false" ht="15" hidden="false" customHeight="false" outlineLevel="0" collapsed="false">
      <c r="A40" s="6"/>
      <c r="B40" s="6"/>
      <c r="C40" s="6"/>
      <c r="D40" s="6"/>
      <c r="E40" s="6"/>
      <c r="F40" s="6"/>
      <c r="G40" s="6"/>
      <c r="H40" s="6"/>
    </row>
  </sheetData>
  <autoFilter ref="A4:H40"/>
  <mergeCells count="2">
    <mergeCell ref="A1:H1"/>
    <mergeCell ref="A2:H2"/>
  </mergeCells>
  <conditionalFormatting sqref="E5:E40">
    <cfRule type="cellIs" priority="2" operator="equal" aboveAverage="0" equalAverage="0" bottom="0" percent="0" rank="0" text="" dxfId="7">
      <formula>"Done"</formula>
    </cfRule>
    <cfRule type="cellIs" priority="3" operator="equal" aboveAverage="0" equalAverage="0" bottom="0" percent="0" rank="0" text="" dxfId="8">
      <formula>"Blocked"</formula>
    </cfRule>
    <cfRule type="cellIs" priority="4" operator="equal" aboveAverage="0" equalAverage="0" bottom="0" percent="0" rank="0" text="" dxfId="9">
      <formula>"In Progress"</formula>
    </cfRule>
  </conditionalFormatting>
  <dataValidations count="2">
    <dataValidation allowBlank="true" errorStyle="stop" operator="between" showDropDown="false" showErrorMessage="false" showInputMessage="false" sqref="E5:E40" type="list">
      <formula1>"Not Started,In Progress,Blocked,Done"</formula1>
      <formula2>0</formula2>
    </dataValidation>
    <dataValidation allowBlank="true" errorStyle="stop" operator="between" showDropDown="false" showErrorMessage="false" showInputMessage="false" sqref="F5:F40" type="list">
      <formula1>"High,Medium,Low"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5" min="4" style="0" width="32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28"/>
  </cols>
  <sheetData>
    <row r="1" customFormat="false" ht="25.5" hidden="false" customHeight="true" outlineLevel="0" collapsed="false">
      <c r="A1" s="1" t="s">
        <v>73</v>
      </c>
      <c r="B1" s="1"/>
      <c r="C1" s="1"/>
      <c r="D1" s="1"/>
      <c r="E1" s="1"/>
      <c r="F1" s="1"/>
      <c r="G1" s="1"/>
      <c r="H1" s="1"/>
    </row>
    <row r="2" customFormat="false" ht="15.75" hidden="false" customHeight="true" outlineLevel="0" collapsed="false">
      <c r="A2" s="2" t="s">
        <v>74</v>
      </c>
      <c r="B2" s="2"/>
      <c r="C2" s="2"/>
      <c r="D2" s="2"/>
      <c r="E2" s="2"/>
      <c r="F2" s="2"/>
      <c r="G2" s="2"/>
      <c r="H2" s="2"/>
    </row>
    <row r="4" customFormat="false" ht="21.75" hidden="false" customHeight="true" outlineLevel="0" collapsed="false">
      <c r="A4" s="5" t="s">
        <v>23</v>
      </c>
      <c r="B4" s="5" t="s">
        <v>75</v>
      </c>
      <c r="C4" s="5" t="s">
        <v>24</v>
      </c>
      <c r="D4" s="5" t="s">
        <v>26</v>
      </c>
      <c r="E4" s="5" t="s">
        <v>76</v>
      </c>
      <c r="F4" s="5" t="s">
        <v>27</v>
      </c>
      <c r="G4" s="5" t="s">
        <v>77</v>
      </c>
      <c r="H4" s="5" t="s">
        <v>30</v>
      </c>
    </row>
    <row r="5" customFormat="false" ht="35.05" hidden="false" customHeight="false" outlineLevel="0" collapsed="false">
      <c r="A5" s="11" t="n">
        <v>1</v>
      </c>
      <c r="B5" s="11" t="s">
        <v>78</v>
      </c>
      <c r="C5" s="11" t="s">
        <v>79</v>
      </c>
      <c r="D5" s="11" t="s">
        <v>80</v>
      </c>
      <c r="E5" s="11" t="s">
        <v>81</v>
      </c>
      <c r="F5" s="11" t="s">
        <v>82</v>
      </c>
      <c r="G5" s="11"/>
      <c r="H5" s="11" t="s">
        <v>83</v>
      </c>
    </row>
    <row r="6" customFormat="false" ht="23.85" hidden="false" customHeight="false" outlineLevel="0" collapsed="false">
      <c r="A6" s="11" t="n">
        <v>2</v>
      </c>
      <c r="B6" s="11" t="s">
        <v>78</v>
      </c>
      <c r="C6" s="11" t="s">
        <v>31</v>
      </c>
      <c r="D6" s="11" t="s">
        <v>84</v>
      </c>
      <c r="E6" s="11" t="s">
        <v>85</v>
      </c>
      <c r="F6" s="11" t="s">
        <v>82</v>
      </c>
      <c r="G6" s="11"/>
      <c r="H6" s="11" t="s">
        <v>86</v>
      </c>
    </row>
    <row r="7" customFormat="false" ht="23.85" hidden="false" customHeight="false" outlineLevel="0" collapsed="false">
      <c r="A7" s="11" t="n">
        <v>3</v>
      </c>
      <c r="B7" s="11" t="s">
        <v>78</v>
      </c>
      <c r="C7" s="11" t="s">
        <v>31</v>
      </c>
      <c r="D7" s="11" t="s">
        <v>87</v>
      </c>
      <c r="E7" s="11" t="s">
        <v>88</v>
      </c>
      <c r="F7" s="11" t="s">
        <v>82</v>
      </c>
      <c r="G7" s="11"/>
      <c r="H7" s="11"/>
    </row>
    <row r="8" customFormat="false" ht="35.05" hidden="false" customHeight="false" outlineLevel="0" collapsed="false">
      <c r="A8" s="11" t="n">
        <v>4</v>
      </c>
      <c r="B8" s="11" t="s">
        <v>78</v>
      </c>
      <c r="C8" s="11" t="s">
        <v>45</v>
      </c>
      <c r="D8" s="11" t="s">
        <v>89</v>
      </c>
      <c r="E8" s="11" t="s">
        <v>90</v>
      </c>
      <c r="F8" s="11" t="s">
        <v>82</v>
      </c>
      <c r="G8" s="11"/>
      <c r="H8" s="11" t="s">
        <v>91</v>
      </c>
    </row>
    <row r="9" customFormat="false" ht="79.85" hidden="false" customHeight="false" outlineLevel="0" collapsed="false">
      <c r="A9" s="11" t="n">
        <v>5</v>
      </c>
      <c r="B9" s="11" t="s">
        <v>92</v>
      </c>
      <c r="C9" s="11" t="s">
        <v>93</v>
      </c>
      <c r="D9" s="11" t="s">
        <v>94</v>
      </c>
      <c r="E9" s="11" t="s">
        <v>95</v>
      </c>
      <c r="F9" s="11" t="s">
        <v>82</v>
      </c>
      <c r="G9" s="11"/>
      <c r="H9" s="11" t="s">
        <v>96</v>
      </c>
    </row>
    <row r="10" customFormat="false" ht="57.45" hidden="false" customHeight="false" outlineLevel="0" collapsed="false">
      <c r="A10" s="11" t="n">
        <v>6</v>
      </c>
      <c r="B10" s="11" t="s">
        <v>78</v>
      </c>
      <c r="C10" s="11" t="s">
        <v>31</v>
      </c>
      <c r="D10" s="11" t="s">
        <v>97</v>
      </c>
      <c r="E10" s="11" t="s">
        <v>98</v>
      </c>
      <c r="F10" s="11" t="s">
        <v>82</v>
      </c>
      <c r="G10" s="11"/>
      <c r="H10" s="11"/>
    </row>
    <row r="11" customFormat="false" ht="15" hidden="false" customHeight="false" outlineLevel="0" collapsed="false">
      <c r="A11" s="6"/>
      <c r="B11" s="6"/>
      <c r="C11" s="6"/>
      <c r="D11" s="6"/>
      <c r="E11" s="6"/>
      <c r="F11" s="6"/>
      <c r="G11" s="6"/>
      <c r="H11" s="6"/>
    </row>
    <row r="12" customFormat="false" ht="15" hidden="false" customHeight="false" outlineLevel="0" collapsed="false">
      <c r="A12" s="6"/>
      <c r="B12" s="6"/>
      <c r="C12" s="6"/>
      <c r="D12" s="6"/>
      <c r="E12" s="6"/>
      <c r="F12" s="6"/>
      <c r="G12" s="6"/>
      <c r="H12" s="6"/>
    </row>
    <row r="13" customFormat="false" ht="15" hidden="false" customHeight="false" outlineLevel="0" collapsed="false">
      <c r="A13" s="6"/>
      <c r="B13" s="6"/>
      <c r="C13" s="6"/>
      <c r="D13" s="6"/>
      <c r="E13" s="6"/>
      <c r="F13" s="6"/>
      <c r="G13" s="6"/>
      <c r="H13" s="6"/>
    </row>
    <row r="14" customFormat="false" ht="15" hidden="false" customHeight="false" outlineLevel="0" collapsed="false">
      <c r="A14" s="6"/>
      <c r="B14" s="6"/>
      <c r="C14" s="6"/>
      <c r="D14" s="6"/>
      <c r="E14" s="6"/>
      <c r="F14" s="6"/>
      <c r="G14" s="6"/>
      <c r="H14" s="6"/>
    </row>
    <row r="15" customFormat="false" ht="15" hidden="false" customHeight="false" outlineLevel="0" collapsed="false">
      <c r="A15" s="6"/>
      <c r="B15" s="6"/>
      <c r="C15" s="6"/>
      <c r="D15" s="6"/>
      <c r="E15" s="6"/>
      <c r="F15" s="6"/>
      <c r="G15" s="6"/>
      <c r="H15" s="6"/>
    </row>
    <row r="16" customFormat="false" ht="15" hidden="false" customHeight="false" outlineLevel="0" collapsed="false">
      <c r="A16" s="6"/>
      <c r="B16" s="6"/>
      <c r="C16" s="6"/>
      <c r="D16" s="6"/>
      <c r="E16" s="6"/>
      <c r="F16" s="6"/>
      <c r="G16" s="6"/>
      <c r="H16" s="6"/>
    </row>
    <row r="17" customFormat="false" ht="15" hidden="false" customHeight="false" outlineLevel="0" collapsed="false">
      <c r="A17" s="6"/>
      <c r="B17" s="6"/>
      <c r="C17" s="6"/>
      <c r="D17" s="6"/>
      <c r="E17" s="6"/>
      <c r="F17" s="6"/>
      <c r="G17" s="6"/>
      <c r="H17" s="6"/>
    </row>
    <row r="18" customFormat="false" ht="15" hidden="false" customHeight="false" outlineLevel="0" collapsed="false">
      <c r="A18" s="6"/>
      <c r="B18" s="6"/>
      <c r="C18" s="6"/>
      <c r="D18" s="6"/>
      <c r="E18" s="6"/>
      <c r="F18" s="6"/>
      <c r="G18" s="6"/>
      <c r="H18" s="6"/>
    </row>
    <row r="19" customFormat="false" ht="15" hidden="false" customHeight="false" outlineLevel="0" collapsed="false">
      <c r="A19" s="6"/>
      <c r="B19" s="6"/>
      <c r="C19" s="6"/>
      <c r="D19" s="6"/>
      <c r="E19" s="6"/>
      <c r="F19" s="6"/>
      <c r="G19" s="6"/>
      <c r="H19" s="6"/>
    </row>
    <row r="20" customFormat="false" ht="15" hidden="false" customHeight="false" outlineLevel="0" collapsed="false">
      <c r="A20" s="6"/>
      <c r="B20" s="6"/>
      <c r="C20" s="6"/>
      <c r="D20" s="6"/>
      <c r="E20" s="6"/>
      <c r="F20" s="6"/>
      <c r="G20" s="6"/>
      <c r="H20" s="6"/>
    </row>
    <row r="21" customFormat="false" ht="15" hidden="false" customHeight="false" outlineLevel="0" collapsed="false">
      <c r="A21" s="6"/>
      <c r="B21" s="6"/>
      <c r="C21" s="6"/>
      <c r="D21" s="6"/>
      <c r="E21" s="6"/>
      <c r="F21" s="6"/>
      <c r="G21" s="6"/>
      <c r="H21" s="6"/>
    </row>
    <row r="22" customFormat="false" ht="15" hidden="false" customHeight="false" outlineLevel="0" collapsed="false">
      <c r="A22" s="6"/>
      <c r="B22" s="6"/>
      <c r="C22" s="6"/>
      <c r="D22" s="6"/>
      <c r="E22" s="6"/>
      <c r="F22" s="6"/>
      <c r="G22" s="6"/>
      <c r="H22" s="6"/>
    </row>
    <row r="23" customFormat="false" ht="15" hidden="false" customHeight="false" outlineLevel="0" collapsed="false">
      <c r="A23" s="6"/>
      <c r="B23" s="6"/>
      <c r="C23" s="6"/>
      <c r="D23" s="6"/>
      <c r="E23" s="6"/>
      <c r="F23" s="6"/>
      <c r="G23" s="6"/>
      <c r="H23" s="6"/>
    </row>
    <row r="24" customFormat="false" ht="15" hidden="false" customHeight="false" outlineLevel="0" collapsed="false">
      <c r="A24" s="6"/>
      <c r="B24" s="6"/>
      <c r="C24" s="6"/>
      <c r="D24" s="6"/>
      <c r="E24" s="6"/>
      <c r="F24" s="6"/>
      <c r="G24" s="6"/>
      <c r="H24" s="6"/>
    </row>
    <row r="25" customFormat="false" ht="15" hidden="false" customHeight="false" outlineLevel="0" collapsed="false">
      <c r="A25" s="6"/>
      <c r="B25" s="6"/>
      <c r="C25" s="6"/>
      <c r="D25" s="6"/>
      <c r="E25" s="6"/>
      <c r="F25" s="6"/>
      <c r="G25" s="6"/>
      <c r="H25" s="6"/>
    </row>
    <row r="26" customFormat="false" ht="15" hidden="false" customHeight="false" outlineLevel="0" collapsed="false">
      <c r="A26" s="6"/>
      <c r="B26" s="6"/>
      <c r="C26" s="6"/>
      <c r="D26" s="6"/>
      <c r="E26" s="6"/>
      <c r="F26" s="6"/>
      <c r="G26" s="6"/>
      <c r="H26" s="6"/>
    </row>
    <row r="27" customFormat="false" ht="15" hidden="false" customHeight="false" outlineLevel="0" collapsed="false">
      <c r="A27" s="6"/>
      <c r="B27" s="6"/>
      <c r="C27" s="6"/>
      <c r="D27" s="6"/>
      <c r="E27" s="6"/>
      <c r="F27" s="6"/>
      <c r="G27" s="6"/>
      <c r="H27" s="6"/>
    </row>
    <row r="28" customFormat="false" ht="15" hidden="false" customHeight="false" outlineLevel="0" collapsed="false">
      <c r="A28" s="6"/>
      <c r="B28" s="6"/>
      <c r="C28" s="6"/>
      <c r="D28" s="6"/>
      <c r="E28" s="6"/>
      <c r="F28" s="6"/>
      <c r="G28" s="6"/>
      <c r="H28" s="6"/>
    </row>
    <row r="29" customFormat="false" ht="15" hidden="false" customHeight="false" outlineLevel="0" collapsed="false">
      <c r="A29" s="6"/>
      <c r="B29" s="6"/>
      <c r="C29" s="6"/>
      <c r="D29" s="6"/>
      <c r="E29" s="6"/>
      <c r="F29" s="6"/>
      <c r="G29" s="6"/>
      <c r="H29" s="6"/>
    </row>
    <row r="30" customFormat="false" ht="15" hidden="false" customHeight="false" outlineLevel="0" collapsed="false">
      <c r="A30" s="6"/>
      <c r="B30" s="6"/>
      <c r="C30" s="6"/>
      <c r="D30" s="6"/>
      <c r="E30" s="6"/>
      <c r="F30" s="6"/>
      <c r="G30" s="6"/>
      <c r="H30" s="6"/>
    </row>
    <row r="31" customFormat="false" ht="15" hidden="false" customHeight="false" outlineLevel="0" collapsed="false">
      <c r="A31" s="6"/>
      <c r="B31" s="6"/>
      <c r="C31" s="6"/>
      <c r="D31" s="6"/>
      <c r="E31" s="6"/>
      <c r="F31" s="6"/>
      <c r="G31" s="6"/>
      <c r="H31" s="6"/>
    </row>
    <row r="32" customFormat="false" ht="15" hidden="false" customHeight="false" outlineLevel="0" collapsed="false">
      <c r="A32" s="6"/>
      <c r="B32" s="6"/>
      <c r="C32" s="6"/>
      <c r="D32" s="6"/>
      <c r="E32" s="6"/>
      <c r="F32" s="6"/>
      <c r="G32" s="6"/>
      <c r="H32" s="6"/>
    </row>
    <row r="33" customFormat="false" ht="15" hidden="false" customHeight="false" outlineLevel="0" collapsed="false">
      <c r="A33" s="6"/>
      <c r="B33" s="6"/>
      <c r="C33" s="6"/>
      <c r="D33" s="6"/>
      <c r="E33" s="6"/>
      <c r="F33" s="6"/>
      <c r="G33" s="6"/>
      <c r="H33" s="6"/>
    </row>
    <row r="34" customFormat="false" ht="15" hidden="false" customHeight="false" outlineLevel="0" collapsed="false">
      <c r="A34" s="6"/>
      <c r="B34" s="6"/>
      <c r="C34" s="6"/>
      <c r="D34" s="6"/>
      <c r="E34" s="6"/>
      <c r="F34" s="6"/>
      <c r="G34" s="6"/>
      <c r="H34" s="6"/>
    </row>
    <row r="35" customFormat="false" ht="15" hidden="false" customHeight="false" outlineLevel="0" collapsed="false">
      <c r="A35" s="6"/>
      <c r="B35" s="6"/>
      <c r="C35" s="6"/>
      <c r="D35" s="6"/>
      <c r="E35" s="6"/>
      <c r="F35" s="6"/>
      <c r="G35" s="6"/>
      <c r="H35" s="6"/>
    </row>
  </sheetData>
  <autoFilter ref="A4:H35"/>
  <mergeCells count="2">
    <mergeCell ref="A1:H1"/>
    <mergeCell ref="A2:H2"/>
  </mergeCells>
  <conditionalFormatting sqref="F5:F35">
    <cfRule type="cellIs" priority="2" operator="equal" aboveAverage="0" equalAverage="0" bottom="0" percent="0" rank="0" text="" dxfId="8">
      <formula>"Open"</formula>
    </cfRule>
    <cfRule type="cellIs" priority="3" operator="equal" aboveAverage="0" equalAverage="0" bottom="0" percent="0" rank="0" text="" dxfId="7">
      <formula>"Resolved"</formula>
    </cfRule>
  </conditionalFormatting>
  <dataValidations count="2">
    <dataValidation allowBlank="true" errorStyle="stop" operator="between" showDropDown="false" showErrorMessage="false" showInputMessage="false" sqref="B5:B35" type="list">
      <formula1>"Gap,Bug,Tech Debt,Risk"</formula1>
      <formula2>0</formula2>
    </dataValidation>
    <dataValidation allowBlank="true" errorStyle="stop" operator="between" showDropDown="false" showErrorMessage="false" showInputMessage="false" sqref="F5:F35" type="list">
      <formula1>"Open,In Progress,Resolved,Won't Fix"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6"/>
    <col collapsed="false" customWidth="true" hidden="false" outlineLevel="0" max="5" min="3" style="0" width="12"/>
    <col collapsed="false" customWidth="true" hidden="false" outlineLevel="0" max="6" min="6" style="0" width="28"/>
  </cols>
  <sheetData>
    <row r="1" customFormat="false" ht="25.5" hidden="false" customHeight="true" outlineLevel="0" collapsed="false">
      <c r="A1" s="1" t="s">
        <v>99</v>
      </c>
      <c r="B1" s="1"/>
      <c r="C1" s="1"/>
      <c r="D1" s="1"/>
      <c r="E1" s="1"/>
      <c r="F1" s="1"/>
    </row>
    <row r="2" customFormat="false" ht="15.75" hidden="false" customHeight="true" outlineLevel="0" collapsed="false">
      <c r="A2" s="2" t="s">
        <v>100</v>
      </c>
      <c r="B2" s="2"/>
      <c r="C2" s="2"/>
      <c r="D2" s="2"/>
      <c r="E2" s="2"/>
      <c r="F2" s="2"/>
    </row>
    <row r="4" customFormat="false" ht="21.75" hidden="false" customHeight="true" outlineLevel="0" collapsed="false">
      <c r="A4" s="5" t="s">
        <v>101</v>
      </c>
      <c r="B4" s="5" t="s">
        <v>102</v>
      </c>
      <c r="C4" s="5" t="s">
        <v>103</v>
      </c>
      <c r="D4" s="5" t="s">
        <v>104</v>
      </c>
      <c r="E4" s="5" t="s">
        <v>105</v>
      </c>
      <c r="F4" s="5" t="s">
        <v>30</v>
      </c>
    </row>
    <row r="5" customFormat="false" ht="23.85" hidden="false" customHeight="false" outlineLevel="0" collapsed="false">
      <c r="A5" s="11" t="s">
        <v>106</v>
      </c>
      <c r="B5" s="11" t="s">
        <v>107</v>
      </c>
      <c r="C5" s="11" t="n">
        <v>40</v>
      </c>
      <c r="D5" s="11" t="n">
        <v>10</v>
      </c>
      <c r="E5" s="12" t="n">
        <f aca="false">IFERROR(D5/C5,0)</f>
        <v>0.25</v>
      </c>
      <c r="F5" s="11" t="s">
        <v>108</v>
      </c>
    </row>
    <row r="6" customFormat="false" ht="35.05" hidden="false" customHeight="false" outlineLevel="0" collapsed="false">
      <c r="A6" s="11" t="s">
        <v>109</v>
      </c>
      <c r="B6" s="11" t="s">
        <v>110</v>
      </c>
      <c r="C6" s="11" t="n">
        <v>40</v>
      </c>
      <c r="D6" s="11" t="n">
        <v>5</v>
      </c>
      <c r="E6" s="12" t="n">
        <f aca="false">IFERROR(D6/C6,0)</f>
        <v>0.125</v>
      </c>
      <c r="F6" s="11" t="s">
        <v>111</v>
      </c>
    </row>
    <row r="7" customFormat="false" ht="23.85" hidden="false" customHeight="false" outlineLevel="0" collapsed="false">
      <c r="A7" s="11" t="s">
        <v>112</v>
      </c>
      <c r="B7" s="11" t="s">
        <v>113</v>
      </c>
      <c r="C7" s="11" t="n">
        <v>45</v>
      </c>
      <c r="D7" s="11" t="n">
        <v>5</v>
      </c>
      <c r="E7" s="12" t="n">
        <f aca="false">IFERROR(D7/C7,0)</f>
        <v>0.111111111111111</v>
      </c>
      <c r="F7" s="11" t="s">
        <v>114</v>
      </c>
    </row>
    <row r="8" customFormat="false" ht="23.85" hidden="false" customHeight="false" outlineLevel="0" collapsed="false">
      <c r="A8" s="11" t="s">
        <v>115</v>
      </c>
      <c r="B8" s="11" t="s">
        <v>116</v>
      </c>
      <c r="C8" s="11" t="n">
        <v>50</v>
      </c>
      <c r="D8" s="11" t="n">
        <v>5</v>
      </c>
      <c r="E8" s="12" t="n">
        <f aca="false">IFERROR(D8/C8,0)</f>
        <v>0.1</v>
      </c>
      <c r="F8" s="11" t="s">
        <v>117</v>
      </c>
    </row>
    <row r="9" customFormat="false" ht="23.85" hidden="false" customHeight="false" outlineLevel="0" collapsed="false">
      <c r="A9" s="11" t="s">
        <v>118</v>
      </c>
      <c r="B9" s="11" t="s">
        <v>110</v>
      </c>
      <c r="C9" s="11" t="n">
        <v>45</v>
      </c>
      <c r="D9" s="11" t="n">
        <v>3</v>
      </c>
      <c r="E9" s="12" t="n">
        <f aca="false">IFERROR(D9/C9,0)</f>
        <v>0.0666666666666667</v>
      </c>
      <c r="F9" s="11" t="s">
        <v>119</v>
      </c>
    </row>
    <row r="10" customFormat="false" ht="35.05" hidden="false" customHeight="false" outlineLevel="0" collapsed="false">
      <c r="A10" s="11" t="s">
        <v>120</v>
      </c>
      <c r="B10" s="11" t="s">
        <v>116</v>
      </c>
      <c r="C10" s="11" t="n">
        <v>40</v>
      </c>
      <c r="D10" s="11" t="n">
        <v>3</v>
      </c>
      <c r="E10" s="12" t="n">
        <f aca="false">IFERROR(D10/C10,0)</f>
        <v>0.075</v>
      </c>
      <c r="F10" s="11" t="s">
        <v>121</v>
      </c>
    </row>
    <row r="11" customFormat="false" ht="23.85" hidden="false" customHeight="false" outlineLevel="0" collapsed="false">
      <c r="A11" s="11" t="s">
        <v>122</v>
      </c>
      <c r="B11" s="11" t="s">
        <v>123</v>
      </c>
      <c r="C11" s="11" t="n">
        <v>45</v>
      </c>
      <c r="D11" s="11" t="n">
        <v>0</v>
      </c>
      <c r="E11" s="12" t="n">
        <f aca="false">IFERROR(D11/C11,0)</f>
        <v>0</v>
      </c>
      <c r="F11" s="11" t="s">
        <v>124</v>
      </c>
    </row>
    <row r="12" customFormat="false" ht="35.05" hidden="false" customHeight="false" outlineLevel="0" collapsed="false">
      <c r="A12" s="11" t="s">
        <v>125</v>
      </c>
      <c r="B12" s="11" t="s">
        <v>126</v>
      </c>
      <c r="C12" s="11" t="n">
        <v>45</v>
      </c>
      <c r="D12" s="11" t="n">
        <v>0</v>
      </c>
      <c r="E12" s="12" t="n">
        <f aca="false">IFERROR(D12/C12,0)</f>
        <v>0</v>
      </c>
      <c r="F12" s="11" t="s">
        <v>127</v>
      </c>
    </row>
    <row r="13" customFormat="false" ht="15" hidden="false" customHeight="false" outlineLevel="0" collapsed="false">
      <c r="A13" s="13" t="s">
        <v>128</v>
      </c>
      <c r="B13" s="14"/>
      <c r="C13" s="13" t="n">
        <f aca="false">SUM(C5:C12)</f>
        <v>350</v>
      </c>
      <c r="D13" s="13" t="n">
        <f aca="false">SUM(D5:D12)</f>
        <v>31</v>
      </c>
      <c r="E13" s="15" t="n">
        <f aca="false">IFERROR(D13/C13,0)</f>
        <v>0.0885714285714286</v>
      </c>
      <c r="F13" s="14"/>
    </row>
  </sheetData>
  <mergeCells count="2">
    <mergeCell ref="A1:F1"/>
    <mergeCell ref="A2:F2"/>
  </mergeCells>
  <conditionalFormatting sqref="E5:E12">
    <cfRule type="colorScale" priority="2">
      <colorScale>
        <cfvo type="min" val="0"/>
        <cfvo type="max" val="0"/>
        <color rgb="FFFFC7CE"/>
        <color rgb="FFC6EFCE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  <col collapsed="false" customWidth="true" hidden="false" outlineLevel="0" max="3" min="3" style="0" width="40"/>
    <col collapsed="false" customWidth="true" hidden="false" outlineLevel="0" max="4" min="4" style="0" width="14"/>
    <col collapsed="false" customWidth="true" hidden="false" outlineLevel="0" max="5" min="5" style="0" width="26"/>
  </cols>
  <sheetData>
    <row r="1" customFormat="false" ht="25.5" hidden="false" customHeight="true" outlineLevel="0" collapsed="false">
      <c r="A1" s="1" t="s">
        <v>129</v>
      </c>
      <c r="B1" s="1"/>
      <c r="C1" s="1"/>
      <c r="D1" s="1"/>
      <c r="E1" s="1"/>
    </row>
    <row r="2" customFormat="false" ht="15.75" hidden="false" customHeight="true" outlineLevel="0" collapsed="false">
      <c r="A2" s="2" t="s">
        <v>130</v>
      </c>
      <c r="B2" s="2"/>
      <c r="C2" s="2"/>
      <c r="D2" s="2"/>
      <c r="E2" s="2"/>
    </row>
    <row r="4" customFormat="false" ht="21.75" hidden="false" customHeight="true" outlineLevel="0" collapsed="false">
      <c r="A4" s="5" t="s">
        <v>131</v>
      </c>
      <c r="B4" s="5" t="s">
        <v>132</v>
      </c>
      <c r="C4" s="5" t="s">
        <v>133</v>
      </c>
      <c r="D4" s="5" t="s">
        <v>27</v>
      </c>
      <c r="E4" s="5" t="s">
        <v>30</v>
      </c>
    </row>
    <row r="5" customFormat="false" ht="15" hidden="false" customHeight="false" outlineLevel="0" collapsed="false">
      <c r="A5" s="11" t="s">
        <v>134</v>
      </c>
      <c r="B5" s="11" t="s">
        <v>135</v>
      </c>
      <c r="C5" s="11" t="s">
        <v>136</v>
      </c>
      <c r="D5" s="11" t="s">
        <v>34</v>
      </c>
      <c r="E5" s="11"/>
    </row>
    <row r="6" customFormat="false" ht="15" hidden="false" customHeight="false" outlineLevel="0" collapsed="false">
      <c r="A6" s="11" t="s">
        <v>137</v>
      </c>
      <c r="B6" s="11" t="s">
        <v>135</v>
      </c>
      <c r="C6" s="11"/>
      <c r="D6" s="11" t="s">
        <v>34</v>
      </c>
      <c r="E6" s="11"/>
    </row>
    <row r="7" customFormat="false" ht="23.85" hidden="false" customHeight="false" outlineLevel="0" collapsed="false">
      <c r="A7" s="11" t="s">
        <v>138</v>
      </c>
      <c r="B7" s="11" t="s">
        <v>135</v>
      </c>
      <c r="C7" s="11"/>
      <c r="D7" s="11" t="s">
        <v>34</v>
      </c>
      <c r="E7" s="11"/>
    </row>
    <row r="8" customFormat="false" ht="15" hidden="false" customHeight="false" outlineLevel="0" collapsed="false">
      <c r="A8" s="11" t="s">
        <v>139</v>
      </c>
      <c r="B8" s="11" t="s">
        <v>135</v>
      </c>
      <c r="C8" s="11" t="s">
        <v>140</v>
      </c>
      <c r="D8" s="11" t="s">
        <v>34</v>
      </c>
      <c r="E8" s="11"/>
    </row>
    <row r="9" customFormat="false" ht="15" hidden="false" customHeight="false" outlineLevel="0" collapsed="false">
      <c r="A9" s="11" t="s">
        <v>141</v>
      </c>
      <c r="B9" s="11" t="s">
        <v>135</v>
      </c>
      <c r="C9" s="11"/>
      <c r="D9" s="11" t="s">
        <v>34</v>
      </c>
      <c r="E9" s="11"/>
    </row>
    <row r="10" customFormat="false" ht="23.85" hidden="false" customHeight="false" outlineLevel="0" collapsed="false">
      <c r="A10" s="11" t="s">
        <v>142</v>
      </c>
      <c r="B10" s="11" t="s">
        <v>135</v>
      </c>
      <c r="C10" s="11" t="s">
        <v>143</v>
      </c>
      <c r="D10" s="11" t="s">
        <v>34</v>
      </c>
      <c r="E10" s="11"/>
    </row>
    <row r="11" customFormat="false" ht="15" hidden="false" customHeight="false" outlineLevel="0" collapsed="false">
      <c r="A11" s="11" t="s">
        <v>144</v>
      </c>
      <c r="B11" s="11" t="s">
        <v>145</v>
      </c>
      <c r="C11" s="11" t="s">
        <v>146</v>
      </c>
      <c r="D11" s="11" t="s">
        <v>34</v>
      </c>
      <c r="E11" s="11"/>
    </row>
    <row r="12" customFormat="false" ht="15" hidden="false" customHeight="false" outlineLevel="0" collapsed="false">
      <c r="A12" s="11" t="s">
        <v>147</v>
      </c>
      <c r="B12" s="11" t="s">
        <v>145</v>
      </c>
      <c r="C12" s="11" t="s">
        <v>148</v>
      </c>
      <c r="D12" s="11" t="s">
        <v>34</v>
      </c>
      <c r="E12" s="11"/>
    </row>
    <row r="13" customFormat="false" ht="15" hidden="false" customHeight="false" outlineLevel="0" collapsed="false">
      <c r="A13" s="11" t="s">
        <v>149</v>
      </c>
      <c r="B13" s="11" t="s">
        <v>150</v>
      </c>
      <c r="C13" s="11" t="s">
        <v>151</v>
      </c>
      <c r="D13" s="11" t="s">
        <v>34</v>
      </c>
      <c r="E13" s="11"/>
    </row>
    <row r="14" customFormat="false" ht="15" hidden="false" customHeight="false" outlineLevel="0" collapsed="false">
      <c r="A14" s="11" t="s">
        <v>152</v>
      </c>
      <c r="B14" s="11" t="s">
        <v>150</v>
      </c>
      <c r="C14" s="11" t="s">
        <v>153</v>
      </c>
      <c r="D14" s="11" t="s">
        <v>34</v>
      </c>
      <c r="E14" s="11"/>
    </row>
    <row r="15" customFormat="false" ht="15" hidden="false" customHeight="false" outlineLevel="0" collapsed="false">
      <c r="A15" s="11" t="s">
        <v>154</v>
      </c>
      <c r="B15" s="11" t="s">
        <v>155</v>
      </c>
      <c r="C15" s="11" t="s">
        <v>156</v>
      </c>
      <c r="D15" s="11" t="s">
        <v>34</v>
      </c>
      <c r="E15" s="11"/>
    </row>
    <row r="16" customFormat="false" ht="15" hidden="false" customHeight="false" outlineLevel="0" collapsed="false">
      <c r="A16" s="11" t="s">
        <v>157</v>
      </c>
      <c r="B16" s="11" t="s">
        <v>155</v>
      </c>
      <c r="C16" s="11" t="s">
        <v>158</v>
      </c>
      <c r="D16" s="11" t="s">
        <v>34</v>
      </c>
      <c r="E16" s="11"/>
    </row>
    <row r="17" customFormat="false" ht="15" hidden="false" customHeight="false" outlineLevel="0" collapsed="false">
      <c r="A17" s="11" t="s">
        <v>159</v>
      </c>
      <c r="B17" s="11" t="s">
        <v>160</v>
      </c>
      <c r="C17" s="11"/>
      <c r="D17" s="11" t="s">
        <v>34</v>
      </c>
      <c r="E17" s="11"/>
    </row>
    <row r="18" customFormat="false" ht="35.05" hidden="false" customHeight="false" outlineLevel="0" collapsed="false">
      <c r="A18" s="11" t="s">
        <v>161</v>
      </c>
      <c r="B18" s="11" t="s">
        <v>160</v>
      </c>
      <c r="C18" s="11"/>
      <c r="D18" s="11" t="s">
        <v>34</v>
      </c>
      <c r="E18" s="11" t="s">
        <v>162</v>
      </c>
    </row>
    <row r="19" customFormat="false" ht="15" hidden="false" customHeight="false" outlineLevel="0" collapsed="false">
      <c r="A19" s="6"/>
      <c r="B19" s="6"/>
      <c r="C19" s="6"/>
      <c r="D19" s="6"/>
      <c r="E19" s="6"/>
    </row>
    <row r="20" customFormat="false" ht="15" hidden="false" customHeight="false" outlineLevel="0" collapsed="false">
      <c r="A20" s="6"/>
      <c r="B20" s="6"/>
      <c r="C20" s="6"/>
      <c r="D20" s="6"/>
      <c r="E20" s="6"/>
    </row>
    <row r="21" customFormat="false" ht="15" hidden="false" customHeight="false" outlineLevel="0" collapsed="false">
      <c r="A21" s="6"/>
      <c r="B21" s="6"/>
      <c r="C21" s="6"/>
      <c r="D21" s="6"/>
      <c r="E21" s="6"/>
    </row>
    <row r="22" customFormat="false" ht="15" hidden="false" customHeight="false" outlineLevel="0" collapsed="false">
      <c r="A22" s="6"/>
      <c r="B22" s="6"/>
      <c r="C22" s="6"/>
      <c r="D22" s="6"/>
      <c r="E22" s="6"/>
    </row>
    <row r="23" customFormat="false" ht="15" hidden="false" customHeight="false" outlineLevel="0" collapsed="false">
      <c r="A23" s="6"/>
      <c r="B23" s="6"/>
      <c r="C23" s="6"/>
      <c r="D23" s="6"/>
      <c r="E23" s="6"/>
    </row>
    <row r="24" customFormat="false" ht="15" hidden="false" customHeight="false" outlineLevel="0" collapsed="false">
      <c r="A24" s="6"/>
      <c r="B24" s="6"/>
      <c r="C24" s="6"/>
      <c r="D24" s="6"/>
      <c r="E24" s="6"/>
    </row>
    <row r="25" customFormat="false" ht="15" hidden="false" customHeight="false" outlineLevel="0" collapsed="false">
      <c r="A25" s="6"/>
      <c r="B25" s="6"/>
      <c r="C25" s="6"/>
      <c r="D25" s="6"/>
      <c r="E25" s="6"/>
    </row>
    <row r="26" customFormat="false" ht="15" hidden="false" customHeight="false" outlineLevel="0" collapsed="false">
      <c r="A26" s="6"/>
      <c r="B26" s="6"/>
      <c r="C26" s="6"/>
      <c r="D26" s="6"/>
      <c r="E26" s="6"/>
    </row>
    <row r="27" customFormat="false" ht="15" hidden="false" customHeight="false" outlineLevel="0" collapsed="false">
      <c r="A27" s="6"/>
      <c r="B27" s="6"/>
      <c r="C27" s="6"/>
      <c r="D27" s="6"/>
      <c r="E27" s="6"/>
    </row>
    <row r="28" customFormat="false" ht="15" hidden="false" customHeight="false" outlineLevel="0" collapsed="false">
      <c r="A28" s="6"/>
      <c r="B28" s="6"/>
      <c r="C28" s="6"/>
      <c r="D28" s="6"/>
      <c r="E28" s="6"/>
    </row>
  </sheetData>
  <autoFilter ref="A4:E28"/>
  <mergeCells count="2">
    <mergeCell ref="A1:E1"/>
    <mergeCell ref="A2:E2"/>
  </mergeCells>
  <conditionalFormatting sqref="D5:D28">
    <cfRule type="cellIs" priority="2" operator="equal" aboveAverage="0" equalAverage="0" bottom="0" percent="0" rank="0" text="" dxfId="7">
      <formula>"Done"</formula>
    </cfRule>
    <cfRule type="cellIs" priority="3" operator="equal" aboveAverage="0" equalAverage="0" bottom="0" percent="0" rank="0" text="" dxfId="9">
      <formula>"In Progress"</formula>
    </cfRule>
  </conditionalFormatting>
  <dataValidations count="1">
    <dataValidation allowBlank="true" errorStyle="stop" operator="between" showDropDown="false" showErrorMessage="false" showInputMessage="false" sqref="D5:D28" type="list">
      <formula1>"Not Started,In Progress,Done,N/A"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2026-08-22T08:30:17Z</dcterms:created>
  <dc:creator>openpyxl</dc:creator>
  <dc:description/>
  <dc:language>en-US</dc:language>
  <cp:lastModifiedBy/>
  <dcterms:modified xsi:type="dcterms:W3CDTF">2026-08-22T08:30:17Z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